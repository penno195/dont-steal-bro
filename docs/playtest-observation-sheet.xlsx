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" state="visible" r:id="rId4"/>
    <sheet sheetId="2" name="P1" state="visible" r:id="rId5"/>
    <sheet sheetId="3" name="P2" state="visible" r:id="rId6"/>
    <sheet sheetId="4" name="P3" state="visible" r:id="rId7"/>
    <sheet sheetId="5" name="P4" state="visible" r:id="rId8"/>
    <sheet sheetId="6" name="P5" state="visible" r:id="rId9"/>
    <sheet sheetId="7" name="P6" state="visible" r:id="rId10"/>
    <sheet sheetId="8" name="Log" state="visible" r:id="rId11"/>
    <sheet sheetId="9" name="Survey" state="visible" r:id="rId12"/>
  </sheets>
  <calcPr calcId="171027" fullCalcOnLoad="1"/>
</workbook>
</file>

<file path=xl/sharedStrings.xml><?xml version="1.0" encoding="utf-8"?>
<sst xmlns="http://schemas.openxmlformats.org/spreadsheetml/2006/main" count="188" uniqueCount="106">
  <si>
    <t>Don't Steal Bro! playtest observation sheet</t>
  </si>
  <si>
    <t>Procedure: docs/playtest-protocol.md. Yellow cells are for you to fill in; everything else is a label or a formula.</t>
  </si>
  <si>
    <t>Date</t>
  </si>
  <si>
    <t>Build version: the Match place's version number after you publish</t>
  </si>
  <si>
    <t>Build version</t>
  </si>
  <si>
    <t>Hub place id</t>
  </si>
  <si>
    <t>Pre-filled from docs/store-products.md</t>
  </si>
  <si>
    <t>Match place id</t>
  </si>
  <si>
    <t>Moderator</t>
  </si>
  <si>
    <t>Players</t>
  </si>
  <si>
    <t>Tab</t>
  </si>
  <si>
    <t>Nickname</t>
  </si>
  <si>
    <t>Device</t>
  </si>
  <si>
    <t>New or returning</t>
  </si>
  <si>
    <t>Screen-sharing?</t>
  </si>
  <si>
    <t>P1</t>
  </si>
  <si>
    <t>P2</t>
  </si>
  <si>
    <t>P3</t>
  </si>
  <si>
    <t>P4</t>
  </si>
  <si>
    <t>P5</t>
  </si>
  <si>
    <t>P6</t>
  </si>
  <si>
    <t>Session targets (protocol §1)</t>
  </si>
  <si>
    <t>Players on phones (want ≥ 2)</t>
  </si>
  <si>
    <t>New players (want ≥ 3)</t>
  </si>
  <si>
    <t>Screen-sharing new players (want 2)</t>
  </si>
  <si>
    <t>Legend</t>
  </si>
  <si>
    <t>Yellow cell: fill in. Dropdowns appear on cells with a fixed set of answers.</t>
  </si>
  <si>
    <t>P1–P6 tabs: one row per round for that player. P1 row 3 is a worked example; overwrite or ignore it.</t>
  </si>
  <si>
    <t>Log tab: every question asked, bug seen and M1–M9 moment, with the round id from the F9 Server log.</t>
  </si>
  <si>
    <t>Survey tab: paste the post-session survey answers; the summary grades them against the protocol's reading rules.</t>
  </si>
  <si>
    <t>Launch gate (on the Log tab) counts open S0/S1/S2 issues against protocol §5.</t>
  </si>
  <si>
    <t>Round #</t>
  </si>
  <si>
    <t>Round id (F9 Server log)</t>
  </si>
  <si>
    <t>Map</t>
  </si>
  <si>
    <t>Time to first station (s)</t>
  </si>
  <si>
    <t>Tasks completed (e.g. 4/6)</t>
  </si>
  <si>
    <t>Placement (1–6)</t>
  </si>
  <si>
    <t>Power-ups picked up</t>
  </si>
  <si>
    <t>Power-ups used (Name → target, or 'held')</t>
  </si>
  <si>
    <t>Times hit</t>
  </si>
  <si>
    <t>Understood the finale before it started?</t>
  </si>
  <si>
    <t>Finale choice</t>
  </si>
  <si>
    <t>Their stated reason (own words)</t>
  </si>
  <si>
    <t>Result</t>
  </si>
  <si>
    <t>Questions asked (word for word, with time)</t>
  </si>
  <si>
    <t>Moments (M1–M9)</t>
  </si>
  <si>
    <t>Bugs seen (note + time)</t>
  </si>
  <si>
    <t>e.g.</t>
  </si>
  <si>
    <t>a1b2c3:1</t>
  </si>
  <si>
    <t>School</t>
  </si>
  <si>
    <t>5/6</t>
  </si>
  <si>
    <t>SlowField → Sam; Shove held</t>
  </si>
  <si>
    <t>Partly</t>
  </si>
  <si>
    <t>Share</t>
  </si>
  <si>
    <t>"Sam said he'd share, and I believed him"</t>
  </si>
  <si>
    <t>LoneSharer</t>
  </si>
  <si>
    <t>0:40 "where do I go?"</t>
  </si>
  <si>
    <t>M5: laughed, requeued</t>
  </si>
  <si>
    <t>3:10 HUD timer overlapped thumb button</t>
  </si>
  <si>
    <t>Questions, bugs and moments</t>
  </si>
  <si>
    <t>Time</t>
  </si>
  <si>
    <t>Round id</t>
  </si>
  <si>
    <t>Player</t>
  </si>
  <si>
    <t>Kind</t>
  </si>
  <si>
    <t>What happened (word for word)</t>
  </si>
  <si>
    <t>Issue template</t>
  </si>
  <si>
    <t>Severity</t>
  </si>
  <si>
    <t>Status</t>
  </si>
  <si>
    <t>Issue link</t>
  </si>
  <si>
    <t>Launch gate (protocol §5)</t>
  </si>
  <si>
    <t>0:40</t>
  </si>
  <si>
    <t>Question</t>
  </si>
  <si>
    <t>"where do I go?" (round 1, before any tip)</t>
  </si>
  <si>
    <t>usability</t>
  </si>
  <si>
    <t>S3</t>
  </si>
  <si>
    <t>Filed</t>
  </si>
  <si>
    <t>github.com/penno195/dont-steal-bro/issues/…</t>
  </si>
  <si>
    <t>Open S0</t>
  </si>
  <si>
    <t>Open S1</t>
  </si>
  <si>
    <t>Open S2</t>
  </si>
  <si>
    <t>Open S3</t>
  </si>
  <si>
    <t>Excludes the example row; Fixed and Won't fix count as closed.</t>
  </si>
  <si>
    <t>Post-session survey answers (protocol §3), one row per response</t>
  </si>
  <si>
    <t>Response #</t>
  </si>
  <si>
    <t>First session? (add to the form)</t>
  </si>
  <si>
    <t>Q1 Time to know what to do</t>
  </si>
  <si>
    <t>Q2 Knew Steal could leave you with nothing</t>
  </si>
  <si>
    <t>Q3 2 Steal + 1 Share: what happens (their words)</t>
  </si>
  <si>
    <t>Q3 grade (you)</t>
  </si>
  <si>
    <t>Q4 Felt unfair</t>
  </si>
  <si>
    <t>Q5 Hit annoyance (1–5)</t>
  </si>
  <si>
    <t>Q6 Power-up unknown</t>
  </si>
  <si>
    <t>Q7 Requeue after streak reset (1–5 or N/A)</t>
  </si>
  <si>
    <t>Q8 Worst task station</t>
  </si>
  <si>
    <t>Q9 Device / hard to press or read</t>
  </si>
  <si>
    <t>Q10 Would play unasked</t>
  </si>
  <si>
    <t>Q10 score (1–5)</t>
  </si>
  <si>
    <t>Summary (protocol §3, 'How to read the results')</t>
  </si>
  <si>
    <t>Responses</t>
  </si>
  <si>
    <t>First-session players who got Q3 wrong</t>
  </si>
  <si>
    <t>Q5 average (hit annoyance)</t>
  </si>
  <si>
    <t>Q7 average (requeue after reset)</t>
  </si>
  <si>
    <t>Streak loss feels bad, not tense?</t>
  </si>
  <si>
    <t>Q10 average (3 = Maybe)</t>
  </si>
  <si>
    <t>Q3 answer key (docs/payoff-table.md): with 2 Steal + 1 Share, both stealers lose and the lone sharer gets the Medium (M) package. Grade 'Right' only if they say both.</t>
  </si>
  <si>
    <t>Q7 'N/A' is ignored by the average. Column B needs a 'Was this your first session?' question added to the form; the survey is anonymous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</si>
</sst>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6B7280"/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0" borderId="0" xfId="0" applyFont="1"/>
    <xf numFmtId="0" fontId="6" fillId="3" borderId="0" xfId="0" applyFont="1" applyFill="1" applyAlignment="1">
      <alignment vertical="center" wrapText="1"/>
    </xf>
    <xf numFmtId="0" fontId="4" fillId="0" borderId="0" xfId="0" applyFont="1"/>
    <xf numFmtId="0" fontId="4" fillId="2" borderId="0" xfId="0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1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26" customWidth="1"/>
    <col min="2" max="2" width="30" customWidth="1"/>
    <col min="3" max="3" width="20" customWidth="1"/>
    <col min="4" max="4" width="18" customWidth="1"/>
    <col min="5" max="5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  <c r="B4" s="4"/>
      <c r="C4" s="2" t="s">
        <v>3</v>
      </c>
    </row>
    <row r="5" spans="1:2" x14ac:dyDescent="0.25">
      <c r="A5" s="3" t="s">
        <v>4</v>
      </c>
      <c r="B5" s="4"/>
    </row>
    <row r="6" spans="1:3" x14ac:dyDescent="0.25">
      <c r="A6" s="3" t="s">
        <v>5</v>
      </c>
      <c r="B6" s="4">
        <v>96878739507497</v>
      </c>
      <c r="C6" s="2" t="s">
        <v>6</v>
      </c>
    </row>
    <row r="7" spans="1:2" x14ac:dyDescent="0.25">
      <c r="A7" s="3" t="s">
        <v>7</v>
      </c>
      <c r="B7" s="4">
        <v>126392243548802</v>
      </c>
    </row>
    <row r="8" spans="1:2" x14ac:dyDescent="0.25">
      <c r="A8" s="3" t="s">
        <v>8</v>
      </c>
      <c r="B8" s="4"/>
    </row>
    <row r="10" spans="1:1" x14ac:dyDescent="0.25">
      <c r="A10" s="5" t="s">
        <v>9</v>
      </c>
    </row>
    <row r="11" ht="30" customHeight="1" spans="1:5" x14ac:dyDescent="0.25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</row>
    <row r="12" spans="1:5" x14ac:dyDescent="0.25">
      <c r="A12" s="7" t="s">
        <v>15</v>
      </c>
      <c r="B12" s="8"/>
      <c r="C12" s="8"/>
      <c r="D12" s="8"/>
      <c r="E12" s="8"/>
    </row>
    <row r="13" spans="1:5" x14ac:dyDescent="0.25">
      <c r="A13" s="7" t="s">
        <v>16</v>
      </c>
      <c r="B13" s="8"/>
      <c r="C13" s="8"/>
      <c r="D13" s="8"/>
      <c r="E13" s="8"/>
    </row>
    <row r="14" spans="1:5" x14ac:dyDescent="0.25">
      <c r="A14" s="7" t="s">
        <v>17</v>
      </c>
      <c r="B14" s="8"/>
      <c r="C14" s="8"/>
      <c r="D14" s="8"/>
      <c r="E14" s="8"/>
    </row>
    <row r="15" spans="1:5" x14ac:dyDescent="0.25">
      <c r="A15" s="7" t="s">
        <v>18</v>
      </c>
      <c r="B15" s="8"/>
      <c r="C15" s="8"/>
      <c r="D15" s="8"/>
      <c r="E15" s="8"/>
    </row>
    <row r="16" spans="1:5" x14ac:dyDescent="0.25">
      <c r="A16" s="7" t="s">
        <v>19</v>
      </c>
      <c r="B16" s="8"/>
      <c r="C16" s="8"/>
      <c r="D16" s="8"/>
      <c r="E16" s="8"/>
    </row>
    <row r="17" spans="1:5" x14ac:dyDescent="0.25">
      <c r="A17" s="7" t="s">
        <v>20</v>
      </c>
      <c r="B17" s="8"/>
      <c r="C17" s="8"/>
      <c r="D17" s="8"/>
      <c r="E17" s="8"/>
    </row>
    <row r="19" spans="1:1" x14ac:dyDescent="0.25">
      <c r="A19" s="5" t="s">
        <v>21</v>
      </c>
    </row>
    <row r="20" spans="1:3" x14ac:dyDescent="0.25">
      <c r="A20" s="7" t="s">
        <v>22</v>
      </c>
      <c r="B20" s="7">
        <f>COUNTIF(C12:C17,"iPhone")+COUNTIF(C12:C17,"Android phone")</f>
      </c>
      <c r="C20" s="7">
        <f>IF(B20&gt;=2,"OK","Short")</f>
      </c>
    </row>
    <row r="21" spans="1:3" x14ac:dyDescent="0.25">
      <c r="A21" s="7" t="s">
        <v>23</v>
      </c>
      <c r="B21" s="7">
        <f>COUNTIF(D12:D17,"New")</f>
      </c>
      <c r="C21" s="7">
        <f>IF(B21&gt;=3,"OK","Short")</f>
      </c>
    </row>
    <row r="22" spans="1:3" x14ac:dyDescent="0.25">
      <c r="A22" s="7" t="s">
        <v>24</v>
      </c>
      <c r="B22" s="7">
        <f>COUNTIFS(D12:D17,"New",E12:E17,"Yes")</f>
      </c>
      <c r="C22" s="7">
        <f>IF(B22&gt;=2,"OK","Short")</f>
      </c>
    </row>
    <row r="25" spans="1:1" x14ac:dyDescent="0.25">
      <c r="A25" s="5" t="s">
        <v>25</v>
      </c>
    </row>
    <row r="26" spans="1:1" x14ac:dyDescent="0.25">
      <c r="A26" s="7" t="s">
        <v>26</v>
      </c>
    </row>
    <row r="27" spans="1:1" x14ac:dyDescent="0.25">
      <c r="A27" s="7" t="s">
        <v>27</v>
      </c>
    </row>
    <row r="28" spans="1:1" x14ac:dyDescent="0.25">
      <c r="A28" s="7" t="s">
        <v>28</v>
      </c>
    </row>
    <row r="29" spans="1:1" x14ac:dyDescent="0.25">
      <c r="A29" s="7" t="s">
        <v>29</v>
      </c>
    </row>
    <row r="30" spans="1:1" x14ac:dyDescent="0.25">
      <c r="A30" s="7" t="s">
        <v>30</v>
      </c>
    </row>
  </sheetData>
  <dataValidations count="3">
    <dataValidation type="list" allowBlank="1" sqref="C12:C17">
      <formula1>"PC,Mac,iPhone,iPad,Android phone,Android tablet,Console"</formula1>
    </dataValidation>
    <dataValidation type="list" allowBlank="1" sqref="D12:D17">
      <formula1>"New,Returning"</formula1>
    </dataValidation>
    <dataValidation type="list" allowBlank="1" sqref="E12:E17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5" width="12" customWidth="1"/>
    <col min="6" max="7" width="10" customWidth="1"/>
    <col min="8" max="8" width="26" customWidth="1"/>
    <col min="9" max="9" width="8" customWidth="1"/>
    <col min="10" max="10" width="14" customWidth="1"/>
    <col min="11" max="11" width="12" customWidth="1"/>
    <col min="12" max="12" width="30" customWidth="1"/>
    <col min="13" max="13" width="14" customWidth="1"/>
    <col min="14" max="14" width="30" customWidth="1"/>
    <col min="15" max="16" width="26" customWidth="1"/>
  </cols>
  <sheetData>
    <row r="1" spans="1:1" x14ac:dyDescent="0.25">
      <c r="A1" s="5">
        <f>IF(Session!B12="","P1 (set the nickname on Session)",Session!B12&amp;" · "&amp;Session!C12&amp;" · "&amp;Session!D12)</f>
      </c>
    </row>
    <row r="2" ht="30" customHeight="1" spans="1:16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</row>
    <row r="3" spans="1:16" x14ac:dyDescent="0.25">
      <c r="A3" s="2" t="s">
        <v>47</v>
      </c>
      <c r="B3" s="2" t="s">
        <v>48</v>
      </c>
      <c r="C3" s="2" t="s">
        <v>49</v>
      </c>
      <c r="D3" s="2">
        <v>34</v>
      </c>
      <c r="E3" s="2" t="s">
        <v>50</v>
      </c>
      <c r="F3" s="2">
        <v>2</v>
      </c>
      <c r="G3" s="2">
        <v>2</v>
      </c>
      <c r="H3" s="2" t="s">
        <v>51</v>
      </c>
      <c r="I3" s="2">
        <v>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s="9" customFormat="1" x14ac:dyDescent="0.25">
      <c r="A4" s="10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s="9" customFormat="1" x14ac:dyDescent="0.25">
      <c r="A5" s="10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s="9" customFormat="1" x14ac:dyDescent="0.25">
      <c r="A6" s="10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s="9" customFormat="1" x14ac:dyDescent="0.25">
      <c r="A7" s="10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s="9" customFormat="1" x14ac:dyDescent="0.25">
      <c r="A8" s="10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s="9" customFormat="1" x14ac:dyDescent="0.25">
      <c r="A9" s="10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</sheetData>
  <dataValidations count="5">
    <dataValidation type="list" allowBlank="1" sqref="C3:C9">
      <formula1>"School,Factory,Museum,Laboratory"</formula1>
    </dataValidation>
    <dataValidation type="whole" allowBlank="1" sqref="F3:F9">
      <formula1>1</formula1>
      <formula2>6</formula2>
    </dataValidation>
    <dataValidation type="list" allowBlank="1" sqref="J3:J9">
      <formula1>"Yes,Partly,No"</formula1>
    </dataValidation>
    <dataValidation type="list" allowBlank="1" sqref="K3:K9">
      <formula1>"Steal,Share,—,Left"</formula1>
    </dataValidation>
    <dataValidation type="list" allowBlank="1" sqref="M3:M9">
      <formula1>"SoleStealer,LoneSharer,AllShare,AllSteal,didn't qualify,lost (other)"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5" width="12" customWidth="1"/>
    <col min="6" max="7" width="10" customWidth="1"/>
    <col min="8" max="8" width="26" customWidth="1"/>
    <col min="9" max="9" width="8" customWidth="1"/>
    <col min="10" max="10" width="14" customWidth="1"/>
    <col min="11" max="11" width="12" customWidth="1"/>
    <col min="12" max="12" width="30" customWidth="1"/>
    <col min="13" max="13" width="14" customWidth="1"/>
    <col min="14" max="14" width="30" customWidth="1"/>
    <col min="15" max="16" width="26" customWidth="1"/>
  </cols>
  <sheetData>
    <row r="1" spans="1:1" x14ac:dyDescent="0.25">
      <c r="A1" s="5">
        <f>IF(Session!B13="","P2 (set the nickname on Session)",Session!B13&amp;" · "&amp;Session!C13&amp;" · "&amp;Session!D13)</f>
      </c>
    </row>
    <row r="2" ht="30" customHeight="1" spans="1:16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</row>
    <row r="3" spans="1:16" s="9" customFormat="1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s="9" customFormat="1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s="9" customFormat="1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s="9" customFormat="1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s="9" customFormat="1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s="9" customFormat="1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</sheetData>
  <dataValidations count="5">
    <dataValidation type="list" allowBlank="1" sqref="C3:C8">
      <formula1>"School,Factory,Museum,Laboratory"</formula1>
    </dataValidation>
    <dataValidation type="whole" allowBlank="1" sqref="F3:F8">
      <formula1>1</formula1>
      <formula2>6</formula2>
    </dataValidation>
    <dataValidation type="list" allowBlank="1" sqref="J3:J8">
      <formula1>"Yes,Partly,No"</formula1>
    </dataValidation>
    <dataValidation type="list" allowBlank="1" sqref="K3:K8">
      <formula1>"Steal,Share,—,Left"</formula1>
    </dataValidation>
    <dataValidation type="list" allowBlank="1" sqref="M3:M8">
      <formula1>"SoleStealer,LoneSharer,AllShare,AllSteal,didn't qualify,lost (other)"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5" width="12" customWidth="1"/>
    <col min="6" max="7" width="10" customWidth="1"/>
    <col min="8" max="8" width="26" customWidth="1"/>
    <col min="9" max="9" width="8" customWidth="1"/>
    <col min="10" max="10" width="14" customWidth="1"/>
    <col min="11" max="11" width="12" customWidth="1"/>
    <col min="12" max="12" width="30" customWidth="1"/>
    <col min="13" max="13" width="14" customWidth="1"/>
    <col min="14" max="14" width="30" customWidth="1"/>
    <col min="15" max="16" width="26" customWidth="1"/>
  </cols>
  <sheetData>
    <row r="1" spans="1:1" x14ac:dyDescent="0.25">
      <c r="A1" s="5">
        <f>IF(Session!B14="","P3 (set the nickname on Session)",Session!B14&amp;" · "&amp;Session!C14&amp;" · "&amp;Session!D14)</f>
      </c>
    </row>
    <row r="2" ht="30" customHeight="1" spans="1:16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</row>
    <row r="3" spans="1:16" s="9" customFormat="1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s="9" customFormat="1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s="9" customFormat="1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s="9" customFormat="1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s="9" customFormat="1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s="9" customFormat="1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</sheetData>
  <dataValidations count="5">
    <dataValidation type="list" allowBlank="1" sqref="C3:C8">
      <formula1>"School,Factory,Museum,Laboratory"</formula1>
    </dataValidation>
    <dataValidation type="whole" allowBlank="1" sqref="F3:F8">
      <formula1>1</formula1>
      <formula2>6</formula2>
    </dataValidation>
    <dataValidation type="list" allowBlank="1" sqref="J3:J8">
      <formula1>"Yes,Partly,No"</formula1>
    </dataValidation>
    <dataValidation type="list" allowBlank="1" sqref="K3:K8">
      <formula1>"Steal,Share,—,Left"</formula1>
    </dataValidation>
    <dataValidation type="list" allowBlank="1" sqref="M3:M8">
      <formula1>"SoleStealer,LoneSharer,AllShare,AllSteal,didn't qualify,lost (other)"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5" width="12" customWidth="1"/>
    <col min="6" max="7" width="10" customWidth="1"/>
    <col min="8" max="8" width="26" customWidth="1"/>
    <col min="9" max="9" width="8" customWidth="1"/>
    <col min="10" max="10" width="14" customWidth="1"/>
    <col min="11" max="11" width="12" customWidth="1"/>
    <col min="12" max="12" width="30" customWidth="1"/>
    <col min="13" max="13" width="14" customWidth="1"/>
    <col min="14" max="14" width="30" customWidth="1"/>
    <col min="15" max="16" width="26" customWidth="1"/>
  </cols>
  <sheetData>
    <row r="1" spans="1:1" x14ac:dyDescent="0.25">
      <c r="A1" s="5">
        <f>IF(Session!B15="","P4 (set the nickname on Session)",Session!B15&amp;" · "&amp;Session!C15&amp;" · "&amp;Session!D15)</f>
      </c>
    </row>
    <row r="2" ht="30" customHeight="1" spans="1:16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</row>
    <row r="3" spans="1:16" s="9" customFormat="1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s="9" customFormat="1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s="9" customFormat="1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s="9" customFormat="1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s="9" customFormat="1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s="9" customFormat="1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</sheetData>
  <dataValidations count="5">
    <dataValidation type="list" allowBlank="1" sqref="C3:C8">
      <formula1>"School,Factory,Museum,Laboratory"</formula1>
    </dataValidation>
    <dataValidation type="whole" allowBlank="1" sqref="F3:F8">
      <formula1>1</formula1>
      <formula2>6</formula2>
    </dataValidation>
    <dataValidation type="list" allowBlank="1" sqref="J3:J8">
      <formula1>"Yes,Partly,No"</formula1>
    </dataValidation>
    <dataValidation type="list" allowBlank="1" sqref="K3:K8">
      <formula1>"Steal,Share,—,Left"</formula1>
    </dataValidation>
    <dataValidation type="list" allowBlank="1" sqref="M3:M8">
      <formula1>"SoleStealer,LoneSharer,AllShare,AllSteal,didn't qualify,lost (other)"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5" width="12" customWidth="1"/>
    <col min="6" max="7" width="10" customWidth="1"/>
    <col min="8" max="8" width="26" customWidth="1"/>
    <col min="9" max="9" width="8" customWidth="1"/>
    <col min="10" max="10" width="14" customWidth="1"/>
    <col min="11" max="11" width="12" customWidth="1"/>
    <col min="12" max="12" width="30" customWidth="1"/>
    <col min="13" max="13" width="14" customWidth="1"/>
    <col min="14" max="14" width="30" customWidth="1"/>
    <col min="15" max="16" width="26" customWidth="1"/>
  </cols>
  <sheetData>
    <row r="1" spans="1:1" x14ac:dyDescent="0.25">
      <c r="A1" s="5">
        <f>IF(Session!B16="","P5 (set the nickname on Session)",Session!B16&amp;" · "&amp;Session!C16&amp;" · "&amp;Session!D16)</f>
      </c>
    </row>
    <row r="2" ht="30" customHeight="1" spans="1:16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</row>
    <row r="3" spans="1:16" s="9" customFormat="1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s="9" customFormat="1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s="9" customFormat="1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s="9" customFormat="1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s="9" customFormat="1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s="9" customFormat="1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</sheetData>
  <dataValidations count="5">
    <dataValidation type="list" allowBlank="1" sqref="C3:C8">
      <formula1>"School,Factory,Museum,Laboratory"</formula1>
    </dataValidation>
    <dataValidation type="whole" allowBlank="1" sqref="F3:F8">
      <formula1>1</formula1>
      <formula2>6</formula2>
    </dataValidation>
    <dataValidation type="list" allowBlank="1" sqref="J3:J8">
      <formula1>"Yes,Partly,No"</formula1>
    </dataValidation>
    <dataValidation type="list" allowBlank="1" sqref="K3:K8">
      <formula1>"Steal,Share,—,Left"</formula1>
    </dataValidation>
    <dataValidation type="list" allowBlank="1" sqref="M3:M8">
      <formula1>"SoleStealer,LoneSharer,AllShare,AllSteal,didn't qualify,lost (other)"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5" width="12" customWidth="1"/>
    <col min="6" max="7" width="10" customWidth="1"/>
    <col min="8" max="8" width="26" customWidth="1"/>
    <col min="9" max="9" width="8" customWidth="1"/>
    <col min="10" max="10" width="14" customWidth="1"/>
    <col min="11" max="11" width="12" customWidth="1"/>
    <col min="12" max="12" width="30" customWidth="1"/>
    <col min="13" max="13" width="14" customWidth="1"/>
    <col min="14" max="14" width="30" customWidth="1"/>
    <col min="15" max="16" width="26" customWidth="1"/>
  </cols>
  <sheetData>
    <row r="1" spans="1:1" x14ac:dyDescent="0.25">
      <c r="A1" s="5">
        <f>IF(Session!B17="","P6 (set the nickname on Session)",Session!B17&amp;" · "&amp;Session!C17&amp;" · "&amp;Session!D17)</f>
      </c>
    </row>
    <row r="2" ht="30" customHeight="1" spans="1:16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</row>
    <row r="3" spans="1:16" s="9" customFormat="1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s="9" customFormat="1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s="9" customFormat="1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s="9" customFormat="1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s="9" customFormat="1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s="9" customFormat="1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</sheetData>
  <dataValidations count="5">
    <dataValidation type="list" allowBlank="1" sqref="C3:C8">
      <formula1>"School,Factory,Museum,Laboratory"</formula1>
    </dataValidation>
    <dataValidation type="whole" allowBlank="1" sqref="F3:F8">
      <formula1>1</formula1>
      <formula2>6</formula2>
    </dataValidation>
    <dataValidation type="list" allowBlank="1" sqref="J3:J8">
      <formula1>"Yes,Partly,No"</formula1>
    </dataValidation>
    <dataValidation type="list" allowBlank="1" sqref="K3:K8">
      <formula1>"Steal,Share,—,Left"</formula1>
    </dataValidation>
    <dataValidation type="list" allowBlank="1" sqref="M3:M8">
      <formula1>"SoleStealer,LoneSharer,AllShare,AllSteal,didn't qualify,lost (other)"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12" customWidth="1"/>
    <col min="4" max="4" width="11" customWidth="1"/>
    <col min="5" max="5" width="46" customWidth="1"/>
    <col min="6" max="6" width="12" customWidth="1"/>
    <col min="8" max="8" width="11" customWidth="1"/>
    <col min="9" max="9" width="28" customWidth="1"/>
    <col min="11" max="11" width="34" customWidth="1"/>
    <col min="12" max="12" width="10" customWidth="1"/>
    <col min="13" max="13" width="44" customWidth="1"/>
  </cols>
  <sheetData>
    <row r="1" spans="1:1" x14ac:dyDescent="0.25">
      <c r="A1" s="5" t="s">
        <v>59</v>
      </c>
    </row>
    <row r="2" ht="30" customHeight="1" spans="1:11" x14ac:dyDescent="0.25">
      <c r="A2" s="6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7"/>
      <c r="K2" s="3" t="s">
        <v>69</v>
      </c>
    </row>
    <row r="3" spans="1:13" x14ac:dyDescent="0.25">
      <c r="A3" s="2" t="s">
        <v>70</v>
      </c>
      <c r="B3" s="2" t="s">
        <v>48</v>
      </c>
      <c r="C3" s="2" t="s">
        <v>15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7"/>
      <c r="K3" s="7" t="s">
        <v>77</v>
      </c>
      <c r="L3" s="7">
        <f>COUNTIFS(G4:G203,"S0",H4:H203,"&lt;&gt;Fixed",H4:H203,"&lt;&gt;Won't fix")</f>
      </c>
      <c r="M3" s="7">
        <f>IF(L3&gt;0,"BLOCKS LAUNCH","OK")</f>
      </c>
    </row>
    <row r="4" spans="1:13" x14ac:dyDescent="0.25">
      <c r="A4" s="8"/>
      <c r="B4" s="8"/>
      <c r="C4" s="8"/>
      <c r="D4" s="8"/>
      <c r="E4" s="8"/>
      <c r="F4" s="8"/>
      <c r="G4" s="8"/>
      <c r="H4" s="8"/>
      <c r="I4" s="8"/>
      <c r="J4" s="7"/>
      <c r="K4" s="7" t="s">
        <v>78</v>
      </c>
      <c r="L4" s="7">
        <f>COUNTIFS(G4:G203,"S1",H4:H203,"&lt;&gt;Fixed",H4:H203,"&lt;&gt;Won't fix")</f>
      </c>
      <c r="M4" s="7">
        <f>IF(L4&gt;0,"Blocks if on a phone or in &gt; 1 in 20 rounds","OK")</f>
      </c>
    </row>
    <row r="5" spans="1:13" x14ac:dyDescent="0.25">
      <c r="A5" s="8"/>
      <c r="B5" s="8"/>
      <c r="C5" s="8"/>
      <c r="D5" s="8"/>
      <c r="E5" s="8"/>
      <c r="F5" s="8"/>
      <c r="G5" s="8"/>
      <c r="H5" s="8"/>
      <c r="I5" s="8"/>
      <c r="J5" s="7"/>
      <c r="K5" s="7" t="s">
        <v>79</v>
      </c>
      <c r="L5" s="7">
        <f>COUNTIFS(G4:G203,"S2",H4:H203,"&lt;&gt;Fixed",H4:H203,"&lt;&gt;Won't fix")</f>
      </c>
      <c r="M5" s="7">
        <f>IF(L5&gt;10,"&gt; 10 open S2: owner decision","OK")</f>
      </c>
    </row>
    <row r="6" spans="1:13" x14ac:dyDescent="0.25">
      <c r="A6" s="8"/>
      <c r="B6" s="8"/>
      <c r="C6" s="8"/>
      <c r="D6" s="8"/>
      <c r="E6" s="8"/>
      <c r="F6" s="8"/>
      <c r="G6" s="8"/>
      <c r="H6" s="8"/>
      <c r="I6" s="8"/>
      <c r="J6" s="7"/>
      <c r="K6" s="7" t="s">
        <v>80</v>
      </c>
      <c r="L6" s="7">
        <f>COUNTIFS(G4:G203,"S3",H4:H203,"&lt;&gt;Fixed",H4:H203,"&lt;&gt;Won't fix")</f>
      </c>
      <c r="M6" s="7">
        <f>"Never blocks alone"</f>
      </c>
    </row>
    <row r="7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spans="1:11" x14ac:dyDescent="0.25">
      <c r="A8" s="8"/>
      <c r="B8" s="8"/>
      <c r="C8" s="8"/>
      <c r="D8" s="8"/>
      <c r="E8" s="8"/>
      <c r="F8" s="8"/>
      <c r="G8" s="8"/>
      <c r="H8" s="8"/>
      <c r="I8" s="8"/>
      <c r="J8" s="7"/>
      <c r="K8" s="2" t="s">
        <v>81</v>
      </c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2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2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2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2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2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2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2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2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2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2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2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5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5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5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25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25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25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25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5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5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5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5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5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25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5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5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5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25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25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25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25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25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25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25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25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25">
      <c r="A102" s="8"/>
      <c r="B102" s="8"/>
      <c r="C102" s="8"/>
      <c r="D102" s="8"/>
      <c r="E102" s="8"/>
      <c r="F102" s="8"/>
      <c r="G102" s="8"/>
      <c r="H102" s="8"/>
      <c r="I102" s="8"/>
    </row>
    <row r="103" spans="1:9" x14ac:dyDescent="0.25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25">
      <c r="A104" s="8"/>
      <c r="B104" s="8"/>
      <c r="C104" s="8"/>
      <c r="D104" s="8"/>
      <c r="E104" s="8"/>
      <c r="F104" s="8"/>
      <c r="G104" s="8"/>
      <c r="H104" s="8"/>
      <c r="I104" s="8"/>
    </row>
    <row r="105" spans="1:9" x14ac:dyDescent="0.25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spans="1:9" x14ac:dyDescent="0.25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25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25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25">
      <c r="A110" s="8"/>
      <c r="B110" s="8"/>
      <c r="C110" s="8"/>
      <c r="D110" s="8"/>
      <c r="E110" s="8"/>
      <c r="F110" s="8"/>
      <c r="G110" s="8"/>
      <c r="H110" s="8"/>
      <c r="I110" s="8"/>
    </row>
    <row r="111" spans="1:9" x14ac:dyDescent="0.25">
      <c r="A111" s="8"/>
      <c r="B111" s="8"/>
      <c r="C111" s="8"/>
      <c r="D111" s="8"/>
      <c r="E111" s="8"/>
      <c r="F111" s="8"/>
      <c r="G111" s="8"/>
      <c r="H111" s="8"/>
      <c r="I111" s="8"/>
    </row>
    <row r="112" spans="1:9" x14ac:dyDescent="0.25">
      <c r="A112" s="8"/>
      <c r="B112" s="8"/>
      <c r="C112" s="8"/>
      <c r="D112" s="8"/>
      <c r="E112" s="8"/>
      <c r="F112" s="8"/>
      <c r="G112" s="8"/>
      <c r="H112" s="8"/>
      <c r="I112" s="8"/>
    </row>
    <row r="113" spans="1:9" x14ac:dyDescent="0.25">
      <c r="A113" s="8"/>
      <c r="B113" s="8"/>
      <c r="C113" s="8"/>
      <c r="D113" s="8"/>
      <c r="E113" s="8"/>
      <c r="F113" s="8"/>
      <c r="G113" s="8"/>
      <c r="H113" s="8"/>
      <c r="I113" s="8"/>
    </row>
    <row r="114" spans="1:9" x14ac:dyDescent="0.25">
      <c r="A114" s="8"/>
      <c r="B114" s="8"/>
      <c r="C114" s="8"/>
      <c r="D114" s="8"/>
      <c r="E114" s="8"/>
      <c r="F114" s="8"/>
      <c r="G114" s="8"/>
      <c r="H114" s="8"/>
      <c r="I114" s="8"/>
    </row>
    <row r="115" spans="1:9" x14ac:dyDescent="0.25">
      <c r="A115" s="8"/>
      <c r="B115" s="8"/>
      <c r="C115" s="8"/>
      <c r="D115" s="8"/>
      <c r="E115" s="8"/>
      <c r="F115" s="8"/>
      <c r="G115" s="8"/>
      <c r="H115" s="8"/>
      <c r="I115" s="8"/>
    </row>
    <row r="116" spans="1:9" x14ac:dyDescent="0.25">
      <c r="A116" s="8"/>
      <c r="B116" s="8"/>
      <c r="C116" s="8"/>
      <c r="D116" s="8"/>
      <c r="E116" s="8"/>
      <c r="F116" s="8"/>
      <c r="G116" s="8"/>
      <c r="H116" s="8"/>
      <c r="I116" s="8"/>
    </row>
    <row r="117" spans="1:9" x14ac:dyDescent="0.25">
      <c r="A117" s="8"/>
      <c r="B117" s="8"/>
      <c r="C117" s="8"/>
      <c r="D117" s="8"/>
      <c r="E117" s="8"/>
      <c r="F117" s="8"/>
      <c r="G117" s="8"/>
      <c r="H117" s="8"/>
      <c r="I117" s="8"/>
    </row>
    <row r="118" spans="1:9" x14ac:dyDescent="0.25">
      <c r="A118" s="8"/>
      <c r="B118" s="8"/>
      <c r="C118" s="8"/>
      <c r="D118" s="8"/>
      <c r="E118" s="8"/>
      <c r="F118" s="8"/>
      <c r="G118" s="8"/>
      <c r="H118" s="8"/>
      <c r="I118" s="8"/>
    </row>
    <row r="119" spans="1:9" x14ac:dyDescent="0.25">
      <c r="A119" s="8"/>
      <c r="B119" s="8"/>
      <c r="C119" s="8"/>
      <c r="D119" s="8"/>
      <c r="E119" s="8"/>
      <c r="F119" s="8"/>
      <c r="G119" s="8"/>
      <c r="H119" s="8"/>
      <c r="I119" s="8"/>
    </row>
    <row r="120" spans="1:9" x14ac:dyDescent="0.25">
      <c r="A120" s="8"/>
      <c r="B120" s="8"/>
      <c r="C120" s="8"/>
      <c r="D120" s="8"/>
      <c r="E120" s="8"/>
      <c r="F120" s="8"/>
      <c r="G120" s="8"/>
      <c r="H120" s="8"/>
      <c r="I120" s="8"/>
    </row>
    <row r="121" spans="1:9" x14ac:dyDescent="0.25">
      <c r="A121" s="8"/>
      <c r="B121" s="8"/>
      <c r="C121" s="8"/>
      <c r="D121" s="8"/>
      <c r="E121" s="8"/>
      <c r="F121" s="8"/>
      <c r="G121" s="8"/>
      <c r="H121" s="8"/>
      <c r="I121" s="8"/>
    </row>
    <row r="122" spans="1:9" x14ac:dyDescent="0.25">
      <c r="A122" s="8"/>
      <c r="B122" s="8"/>
      <c r="C122" s="8"/>
      <c r="D122" s="8"/>
      <c r="E122" s="8"/>
      <c r="F122" s="8"/>
      <c r="G122" s="8"/>
      <c r="H122" s="8"/>
      <c r="I122" s="8"/>
    </row>
    <row r="123" spans="1:9" x14ac:dyDescent="0.25">
      <c r="A123" s="8"/>
      <c r="B123" s="8"/>
      <c r="C123" s="8"/>
      <c r="D123" s="8"/>
      <c r="E123" s="8"/>
      <c r="F123" s="8"/>
      <c r="G123" s="8"/>
      <c r="H123" s="8"/>
      <c r="I123" s="8"/>
    </row>
    <row r="124" spans="1:9" x14ac:dyDescent="0.25">
      <c r="A124" s="8"/>
      <c r="B124" s="8"/>
      <c r="C124" s="8"/>
      <c r="D124" s="8"/>
      <c r="E124" s="8"/>
      <c r="F124" s="8"/>
      <c r="G124" s="8"/>
      <c r="H124" s="8"/>
      <c r="I124" s="8"/>
    </row>
    <row r="125" spans="1:9" x14ac:dyDescent="0.25">
      <c r="A125" s="8"/>
      <c r="B125" s="8"/>
      <c r="C125" s="8"/>
      <c r="D125" s="8"/>
      <c r="E125" s="8"/>
      <c r="F125" s="8"/>
      <c r="G125" s="8"/>
      <c r="H125" s="8"/>
      <c r="I125" s="8"/>
    </row>
    <row r="126" spans="1:9" x14ac:dyDescent="0.25">
      <c r="A126" s="8"/>
      <c r="B126" s="8"/>
      <c r="C126" s="8"/>
      <c r="D126" s="8"/>
      <c r="E126" s="8"/>
      <c r="F126" s="8"/>
      <c r="G126" s="8"/>
      <c r="H126" s="8"/>
      <c r="I126" s="8"/>
    </row>
    <row r="127" spans="1:9" x14ac:dyDescent="0.25">
      <c r="A127" s="8"/>
      <c r="B127" s="8"/>
      <c r="C127" s="8"/>
      <c r="D127" s="8"/>
      <c r="E127" s="8"/>
      <c r="F127" s="8"/>
      <c r="G127" s="8"/>
      <c r="H127" s="8"/>
      <c r="I127" s="8"/>
    </row>
    <row r="128" spans="1:9" x14ac:dyDescent="0.25">
      <c r="A128" s="8"/>
      <c r="B128" s="8"/>
      <c r="C128" s="8"/>
      <c r="D128" s="8"/>
      <c r="E128" s="8"/>
      <c r="F128" s="8"/>
      <c r="G128" s="8"/>
      <c r="H128" s="8"/>
      <c r="I128" s="8"/>
    </row>
    <row r="129" spans="1:9" x14ac:dyDescent="0.25">
      <c r="A129" s="8"/>
      <c r="B129" s="8"/>
      <c r="C129" s="8"/>
      <c r="D129" s="8"/>
      <c r="E129" s="8"/>
      <c r="F129" s="8"/>
      <c r="G129" s="8"/>
      <c r="H129" s="8"/>
      <c r="I129" s="8"/>
    </row>
    <row r="130" spans="1:9" x14ac:dyDescent="0.25">
      <c r="A130" s="8"/>
      <c r="B130" s="8"/>
      <c r="C130" s="8"/>
      <c r="D130" s="8"/>
      <c r="E130" s="8"/>
      <c r="F130" s="8"/>
      <c r="G130" s="8"/>
      <c r="H130" s="8"/>
      <c r="I130" s="8"/>
    </row>
    <row r="131" spans="1:9" x14ac:dyDescent="0.25">
      <c r="A131" s="8"/>
      <c r="B131" s="8"/>
      <c r="C131" s="8"/>
      <c r="D131" s="8"/>
      <c r="E131" s="8"/>
      <c r="F131" s="8"/>
      <c r="G131" s="8"/>
      <c r="H131" s="8"/>
      <c r="I131" s="8"/>
    </row>
    <row r="132" spans="1:9" x14ac:dyDescent="0.25">
      <c r="A132" s="8"/>
      <c r="B132" s="8"/>
      <c r="C132" s="8"/>
      <c r="D132" s="8"/>
      <c r="E132" s="8"/>
      <c r="F132" s="8"/>
      <c r="G132" s="8"/>
      <c r="H132" s="8"/>
      <c r="I132" s="8"/>
    </row>
    <row r="133" spans="1:9" x14ac:dyDescent="0.25">
      <c r="A133" s="8"/>
      <c r="B133" s="8"/>
      <c r="C133" s="8"/>
      <c r="D133" s="8"/>
      <c r="E133" s="8"/>
      <c r="F133" s="8"/>
      <c r="G133" s="8"/>
      <c r="H133" s="8"/>
      <c r="I133" s="8"/>
    </row>
    <row r="134" spans="1:9" x14ac:dyDescent="0.25">
      <c r="A134" s="8"/>
      <c r="B134" s="8"/>
      <c r="C134" s="8"/>
      <c r="D134" s="8"/>
      <c r="E134" s="8"/>
      <c r="F134" s="8"/>
      <c r="G134" s="8"/>
      <c r="H134" s="8"/>
      <c r="I134" s="8"/>
    </row>
    <row r="135" spans="1:9" x14ac:dyDescent="0.25">
      <c r="A135" s="8"/>
      <c r="B135" s="8"/>
      <c r="C135" s="8"/>
      <c r="D135" s="8"/>
      <c r="E135" s="8"/>
      <c r="F135" s="8"/>
      <c r="G135" s="8"/>
      <c r="H135" s="8"/>
      <c r="I135" s="8"/>
    </row>
    <row r="136" spans="1:9" x14ac:dyDescent="0.25">
      <c r="A136" s="8"/>
      <c r="B136" s="8"/>
      <c r="C136" s="8"/>
      <c r="D136" s="8"/>
      <c r="E136" s="8"/>
      <c r="F136" s="8"/>
      <c r="G136" s="8"/>
      <c r="H136" s="8"/>
      <c r="I136" s="8"/>
    </row>
    <row r="137" spans="1:9" x14ac:dyDescent="0.25">
      <c r="A137" s="8"/>
      <c r="B137" s="8"/>
      <c r="C137" s="8"/>
      <c r="D137" s="8"/>
      <c r="E137" s="8"/>
      <c r="F137" s="8"/>
      <c r="G137" s="8"/>
      <c r="H137" s="8"/>
      <c r="I137" s="8"/>
    </row>
    <row r="138" spans="1:9" x14ac:dyDescent="0.25">
      <c r="A138" s="8"/>
      <c r="B138" s="8"/>
      <c r="C138" s="8"/>
      <c r="D138" s="8"/>
      <c r="E138" s="8"/>
      <c r="F138" s="8"/>
      <c r="G138" s="8"/>
      <c r="H138" s="8"/>
      <c r="I138" s="8"/>
    </row>
    <row r="139" spans="1:9" x14ac:dyDescent="0.25">
      <c r="A139" s="8"/>
      <c r="B139" s="8"/>
      <c r="C139" s="8"/>
      <c r="D139" s="8"/>
      <c r="E139" s="8"/>
      <c r="F139" s="8"/>
      <c r="G139" s="8"/>
      <c r="H139" s="8"/>
      <c r="I139" s="8"/>
    </row>
    <row r="140" spans="1:9" x14ac:dyDescent="0.25">
      <c r="A140" s="8"/>
      <c r="B140" s="8"/>
      <c r="C140" s="8"/>
      <c r="D140" s="8"/>
      <c r="E140" s="8"/>
      <c r="F140" s="8"/>
      <c r="G140" s="8"/>
      <c r="H140" s="8"/>
      <c r="I140" s="8"/>
    </row>
    <row r="141" spans="1:9" x14ac:dyDescent="0.25">
      <c r="A141" s="8"/>
      <c r="B141" s="8"/>
      <c r="C141" s="8"/>
      <c r="D141" s="8"/>
      <c r="E141" s="8"/>
      <c r="F141" s="8"/>
      <c r="G141" s="8"/>
      <c r="H141" s="8"/>
      <c r="I141" s="8"/>
    </row>
    <row r="142" spans="1:9" x14ac:dyDescent="0.25">
      <c r="A142" s="8"/>
      <c r="B142" s="8"/>
      <c r="C142" s="8"/>
      <c r="D142" s="8"/>
      <c r="E142" s="8"/>
      <c r="F142" s="8"/>
      <c r="G142" s="8"/>
      <c r="H142" s="8"/>
      <c r="I142" s="8"/>
    </row>
    <row r="143" spans="1:9" x14ac:dyDescent="0.25">
      <c r="A143" s="8"/>
      <c r="B143" s="8"/>
      <c r="C143" s="8"/>
      <c r="D143" s="8"/>
      <c r="E143" s="8"/>
      <c r="F143" s="8"/>
      <c r="G143" s="8"/>
      <c r="H143" s="8"/>
      <c r="I143" s="8"/>
    </row>
    <row r="144" spans="1:9" x14ac:dyDescent="0.25">
      <c r="A144" s="8"/>
      <c r="B144" s="8"/>
      <c r="C144" s="8"/>
      <c r="D144" s="8"/>
      <c r="E144" s="8"/>
      <c r="F144" s="8"/>
      <c r="G144" s="8"/>
      <c r="H144" s="8"/>
      <c r="I144" s="8"/>
    </row>
    <row r="145" spans="1:9" x14ac:dyDescent="0.25">
      <c r="A145" s="8"/>
      <c r="B145" s="8"/>
      <c r="C145" s="8"/>
      <c r="D145" s="8"/>
      <c r="E145" s="8"/>
      <c r="F145" s="8"/>
      <c r="G145" s="8"/>
      <c r="H145" s="8"/>
      <c r="I145" s="8"/>
    </row>
    <row r="146" spans="1:9" x14ac:dyDescent="0.25">
      <c r="A146" s="8"/>
      <c r="B146" s="8"/>
      <c r="C146" s="8"/>
      <c r="D146" s="8"/>
      <c r="E146" s="8"/>
      <c r="F146" s="8"/>
      <c r="G146" s="8"/>
      <c r="H146" s="8"/>
      <c r="I146" s="8"/>
    </row>
    <row r="147" spans="1:9" x14ac:dyDescent="0.25">
      <c r="A147" s="8"/>
      <c r="B147" s="8"/>
      <c r="C147" s="8"/>
      <c r="D147" s="8"/>
      <c r="E147" s="8"/>
      <c r="F147" s="8"/>
      <c r="G147" s="8"/>
      <c r="H147" s="8"/>
      <c r="I147" s="8"/>
    </row>
    <row r="148" spans="1:9" x14ac:dyDescent="0.25">
      <c r="A148" s="8"/>
      <c r="B148" s="8"/>
      <c r="C148" s="8"/>
      <c r="D148" s="8"/>
      <c r="E148" s="8"/>
      <c r="F148" s="8"/>
      <c r="G148" s="8"/>
      <c r="H148" s="8"/>
      <c r="I148" s="8"/>
    </row>
    <row r="149" spans="1:9" x14ac:dyDescent="0.25">
      <c r="A149" s="8"/>
      <c r="B149" s="8"/>
      <c r="C149" s="8"/>
      <c r="D149" s="8"/>
      <c r="E149" s="8"/>
      <c r="F149" s="8"/>
      <c r="G149" s="8"/>
      <c r="H149" s="8"/>
      <c r="I149" s="8"/>
    </row>
    <row r="150" spans="1:9" x14ac:dyDescent="0.25">
      <c r="A150" s="8"/>
      <c r="B150" s="8"/>
      <c r="C150" s="8"/>
      <c r="D150" s="8"/>
      <c r="E150" s="8"/>
      <c r="F150" s="8"/>
      <c r="G150" s="8"/>
      <c r="H150" s="8"/>
      <c r="I150" s="8"/>
    </row>
    <row r="151" spans="1:9" x14ac:dyDescent="0.25">
      <c r="A151" s="8"/>
      <c r="B151" s="8"/>
      <c r="C151" s="8"/>
      <c r="D151" s="8"/>
      <c r="E151" s="8"/>
      <c r="F151" s="8"/>
      <c r="G151" s="8"/>
      <c r="H151" s="8"/>
      <c r="I151" s="8"/>
    </row>
    <row r="152" spans="1:9" x14ac:dyDescent="0.25">
      <c r="A152" s="8"/>
      <c r="B152" s="8"/>
      <c r="C152" s="8"/>
      <c r="D152" s="8"/>
      <c r="E152" s="8"/>
      <c r="F152" s="8"/>
      <c r="G152" s="8"/>
      <c r="H152" s="8"/>
      <c r="I152" s="8"/>
    </row>
    <row r="153" spans="1:9" x14ac:dyDescent="0.25">
      <c r="A153" s="8"/>
      <c r="B153" s="8"/>
      <c r="C153" s="8"/>
      <c r="D153" s="8"/>
      <c r="E153" s="8"/>
      <c r="F153" s="8"/>
      <c r="G153" s="8"/>
      <c r="H153" s="8"/>
      <c r="I153" s="8"/>
    </row>
    <row r="154" spans="1:9" x14ac:dyDescent="0.25">
      <c r="A154" s="8"/>
      <c r="B154" s="8"/>
      <c r="C154" s="8"/>
      <c r="D154" s="8"/>
      <c r="E154" s="8"/>
      <c r="F154" s="8"/>
      <c r="G154" s="8"/>
      <c r="H154" s="8"/>
      <c r="I154" s="8"/>
    </row>
    <row r="155" spans="1:9" x14ac:dyDescent="0.25">
      <c r="A155" s="8"/>
      <c r="B155" s="8"/>
      <c r="C155" s="8"/>
      <c r="D155" s="8"/>
      <c r="E155" s="8"/>
      <c r="F155" s="8"/>
      <c r="G155" s="8"/>
      <c r="H155" s="8"/>
      <c r="I155" s="8"/>
    </row>
    <row r="156" spans="1:9" x14ac:dyDescent="0.25">
      <c r="A156" s="8"/>
      <c r="B156" s="8"/>
      <c r="C156" s="8"/>
      <c r="D156" s="8"/>
      <c r="E156" s="8"/>
      <c r="F156" s="8"/>
      <c r="G156" s="8"/>
      <c r="H156" s="8"/>
      <c r="I156" s="8"/>
    </row>
    <row r="157" spans="1:9" x14ac:dyDescent="0.25">
      <c r="A157" s="8"/>
      <c r="B157" s="8"/>
      <c r="C157" s="8"/>
      <c r="D157" s="8"/>
      <c r="E157" s="8"/>
      <c r="F157" s="8"/>
      <c r="G157" s="8"/>
      <c r="H157" s="8"/>
      <c r="I157" s="8"/>
    </row>
    <row r="158" spans="1:9" x14ac:dyDescent="0.25">
      <c r="A158" s="8"/>
      <c r="B158" s="8"/>
      <c r="C158" s="8"/>
      <c r="D158" s="8"/>
      <c r="E158" s="8"/>
      <c r="F158" s="8"/>
      <c r="G158" s="8"/>
      <c r="H158" s="8"/>
      <c r="I158" s="8"/>
    </row>
    <row r="159" spans="1:9" x14ac:dyDescent="0.25">
      <c r="A159" s="8"/>
      <c r="B159" s="8"/>
      <c r="C159" s="8"/>
      <c r="D159" s="8"/>
      <c r="E159" s="8"/>
      <c r="F159" s="8"/>
      <c r="G159" s="8"/>
      <c r="H159" s="8"/>
      <c r="I159" s="8"/>
    </row>
    <row r="160" spans="1:9" x14ac:dyDescent="0.25">
      <c r="A160" s="8"/>
      <c r="B160" s="8"/>
      <c r="C160" s="8"/>
      <c r="D160" s="8"/>
      <c r="E160" s="8"/>
      <c r="F160" s="8"/>
      <c r="G160" s="8"/>
      <c r="H160" s="8"/>
      <c r="I160" s="8"/>
    </row>
    <row r="161" spans="1:9" x14ac:dyDescent="0.25">
      <c r="A161" s="8"/>
      <c r="B161" s="8"/>
      <c r="C161" s="8"/>
      <c r="D161" s="8"/>
      <c r="E161" s="8"/>
      <c r="F161" s="8"/>
      <c r="G161" s="8"/>
      <c r="H161" s="8"/>
      <c r="I161" s="8"/>
    </row>
    <row r="162" spans="1:9" x14ac:dyDescent="0.25">
      <c r="A162" s="8"/>
      <c r="B162" s="8"/>
      <c r="C162" s="8"/>
      <c r="D162" s="8"/>
      <c r="E162" s="8"/>
      <c r="F162" s="8"/>
      <c r="G162" s="8"/>
      <c r="H162" s="8"/>
      <c r="I162" s="8"/>
    </row>
    <row r="163" spans="1:9" x14ac:dyDescent="0.25">
      <c r="A163" s="8"/>
      <c r="B163" s="8"/>
      <c r="C163" s="8"/>
      <c r="D163" s="8"/>
      <c r="E163" s="8"/>
      <c r="F163" s="8"/>
      <c r="G163" s="8"/>
      <c r="H163" s="8"/>
      <c r="I163" s="8"/>
    </row>
    <row r="164" spans="1:9" x14ac:dyDescent="0.25">
      <c r="A164" s="8"/>
      <c r="B164" s="8"/>
      <c r="C164" s="8"/>
      <c r="D164" s="8"/>
      <c r="E164" s="8"/>
      <c r="F164" s="8"/>
      <c r="G164" s="8"/>
      <c r="H164" s="8"/>
      <c r="I164" s="8"/>
    </row>
    <row r="165" spans="1:9" x14ac:dyDescent="0.25">
      <c r="A165" s="8"/>
      <c r="B165" s="8"/>
      <c r="C165" s="8"/>
      <c r="D165" s="8"/>
      <c r="E165" s="8"/>
      <c r="F165" s="8"/>
      <c r="G165" s="8"/>
      <c r="H165" s="8"/>
      <c r="I165" s="8"/>
    </row>
    <row r="166" spans="1:9" x14ac:dyDescent="0.25">
      <c r="A166" s="8"/>
      <c r="B166" s="8"/>
      <c r="C166" s="8"/>
      <c r="D166" s="8"/>
      <c r="E166" s="8"/>
      <c r="F166" s="8"/>
      <c r="G166" s="8"/>
      <c r="H166" s="8"/>
      <c r="I166" s="8"/>
    </row>
    <row r="167" spans="1:9" x14ac:dyDescent="0.25">
      <c r="A167" s="8"/>
      <c r="B167" s="8"/>
      <c r="C167" s="8"/>
      <c r="D167" s="8"/>
      <c r="E167" s="8"/>
      <c r="F167" s="8"/>
      <c r="G167" s="8"/>
      <c r="H167" s="8"/>
      <c r="I167" s="8"/>
    </row>
    <row r="168" spans="1:9" x14ac:dyDescent="0.25">
      <c r="A168" s="8"/>
      <c r="B168" s="8"/>
      <c r="C168" s="8"/>
      <c r="D168" s="8"/>
      <c r="E168" s="8"/>
      <c r="F168" s="8"/>
      <c r="G168" s="8"/>
      <c r="H168" s="8"/>
      <c r="I168" s="8"/>
    </row>
    <row r="169" spans="1:9" x14ac:dyDescent="0.25">
      <c r="A169" s="8"/>
      <c r="B169" s="8"/>
      <c r="C169" s="8"/>
      <c r="D169" s="8"/>
      <c r="E169" s="8"/>
      <c r="F169" s="8"/>
      <c r="G169" s="8"/>
      <c r="H169" s="8"/>
      <c r="I169" s="8"/>
    </row>
    <row r="170" spans="1:9" x14ac:dyDescent="0.25">
      <c r="A170" s="8"/>
      <c r="B170" s="8"/>
      <c r="C170" s="8"/>
      <c r="D170" s="8"/>
      <c r="E170" s="8"/>
      <c r="F170" s="8"/>
      <c r="G170" s="8"/>
      <c r="H170" s="8"/>
      <c r="I170" s="8"/>
    </row>
    <row r="171" spans="1:9" x14ac:dyDescent="0.25">
      <c r="A171" s="8"/>
      <c r="B171" s="8"/>
      <c r="C171" s="8"/>
      <c r="D171" s="8"/>
      <c r="E171" s="8"/>
      <c r="F171" s="8"/>
      <c r="G171" s="8"/>
      <c r="H171" s="8"/>
      <c r="I171" s="8"/>
    </row>
    <row r="172" spans="1:9" x14ac:dyDescent="0.25">
      <c r="A172" s="8"/>
      <c r="B172" s="8"/>
      <c r="C172" s="8"/>
      <c r="D172" s="8"/>
      <c r="E172" s="8"/>
      <c r="F172" s="8"/>
      <c r="G172" s="8"/>
      <c r="H172" s="8"/>
      <c r="I172" s="8"/>
    </row>
    <row r="173" spans="1:9" x14ac:dyDescent="0.25">
      <c r="A173" s="8"/>
      <c r="B173" s="8"/>
      <c r="C173" s="8"/>
      <c r="D173" s="8"/>
      <c r="E173" s="8"/>
      <c r="F173" s="8"/>
      <c r="G173" s="8"/>
      <c r="H173" s="8"/>
      <c r="I173" s="8"/>
    </row>
    <row r="174" spans="1:9" x14ac:dyDescent="0.25">
      <c r="A174" s="8"/>
      <c r="B174" s="8"/>
      <c r="C174" s="8"/>
      <c r="D174" s="8"/>
      <c r="E174" s="8"/>
      <c r="F174" s="8"/>
      <c r="G174" s="8"/>
      <c r="H174" s="8"/>
      <c r="I174" s="8"/>
    </row>
    <row r="175" spans="1:9" x14ac:dyDescent="0.25">
      <c r="A175" s="8"/>
      <c r="B175" s="8"/>
      <c r="C175" s="8"/>
      <c r="D175" s="8"/>
      <c r="E175" s="8"/>
      <c r="F175" s="8"/>
      <c r="G175" s="8"/>
      <c r="H175" s="8"/>
      <c r="I175" s="8"/>
    </row>
    <row r="176" spans="1:9" x14ac:dyDescent="0.25">
      <c r="A176" s="8"/>
      <c r="B176" s="8"/>
      <c r="C176" s="8"/>
      <c r="D176" s="8"/>
      <c r="E176" s="8"/>
      <c r="F176" s="8"/>
      <c r="G176" s="8"/>
      <c r="H176" s="8"/>
      <c r="I176" s="8"/>
    </row>
    <row r="177" spans="1:9" x14ac:dyDescent="0.25">
      <c r="A177" s="8"/>
      <c r="B177" s="8"/>
      <c r="C177" s="8"/>
      <c r="D177" s="8"/>
      <c r="E177" s="8"/>
      <c r="F177" s="8"/>
      <c r="G177" s="8"/>
      <c r="H177" s="8"/>
      <c r="I177" s="8"/>
    </row>
    <row r="178" spans="1:9" x14ac:dyDescent="0.25">
      <c r="A178" s="8"/>
      <c r="B178" s="8"/>
      <c r="C178" s="8"/>
      <c r="D178" s="8"/>
      <c r="E178" s="8"/>
      <c r="F178" s="8"/>
      <c r="G178" s="8"/>
      <c r="H178" s="8"/>
      <c r="I178" s="8"/>
    </row>
    <row r="179" spans="1:9" x14ac:dyDescent="0.25">
      <c r="A179" s="8"/>
      <c r="B179" s="8"/>
      <c r="C179" s="8"/>
      <c r="D179" s="8"/>
      <c r="E179" s="8"/>
      <c r="F179" s="8"/>
      <c r="G179" s="8"/>
      <c r="H179" s="8"/>
      <c r="I179" s="8"/>
    </row>
    <row r="180" spans="1:9" x14ac:dyDescent="0.25">
      <c r="A180" s="8"/>
      <c r="B180" s="8"/>
      <c r="C180" s="8"/>
      <c r="D180" s="8"/>
      <c r="E180" s="8"/>
      <c r="F180" s="8"/>
      <c r="G180" s="8"/>
      <c r="H180" s="8"/>
      <c r="I180" s="8"/>
    </row>
    <row r="181" spans="1:9" x14ac:dyDescent="0.25">
      <c r="A181" s="8"/>
      <c r="B181" s="8"/>
      <c r="C181" s="8"/>
      <c r="D181" s="8"/>
      <c r="E181" s="8"/>
      <c r="F181" s="8"/>
      <c r="G181" s="8"/>
      <c r="H181" s="8"/>
      <c r="I181" s="8"/>
    </row>
    <row r="182" spans="1:9" x14ac:dyDescent="0.25">
      <c r="A182" s="8"/>
      <c r="B182" s="8"/>
      <c r="C182" s="8"/>
      <c r="D182" s="8"/>
      <c r="E182" s="8"/>
      <c r="F182" s="8"/>
      <c r="G182" s="8"/>
      <c r="H182" s="8"/>
      <c r="I182" s="8"/>
    </row>
    <row r="183" spans="1:9" x14ac:dyDescent="0.25">
      <c r="A183" s="8"/>
      <c r="B183" s="8"/>
      <c r="C183" s="8"/>
      <c r="D183" s="8"/>
      <c r="E183" s="8"/>
      <c r="F183" s="8"/>
      <c r="G183" s="8"/>
      <c r="H183" s="8"/>
      <c r="I183" s="8"/>
    </row>
    <row r="184" spans="1:9" x14ac:dyDescent="0.25">
      <c r="A184" s="8"/>
      <c r="B184" s="8"/>
      <c r="C184" s="8"/>
      <c r="D184" s="8"/>
      <c r="E184" s="8"/>
      <c r="F184" s="8"/>
      <c r="G184" s="8"/>
      <c r="H184" s="8"/>
      <c r="I184" s="8"/>
    </row>
    <row r="185" spans="1:9" x14ac:dyDescent="0.25">
      <c r="A185" s="8"/>
      <c r="B185" s="8"/>
      <c r="C185" s="8"/>
      <c r="D185" s="8"/>
      <c r="E185" s="8"/>
      <c r="F185" s="8"/>
      <c r="G185" s="8"/>
      <c r="H185" s="8"/>
      <c r="I185" s="8"/>
    </row>
    <row r="186" spans="1:9" x14ac:dyDescent="0.25">
      <c r="A186" s="8"/>
      <c r="B186" s="8"/>
      <c r="C186" s="8"/>
      <c r="D186" s="8"/>
      <c r="E186" s="8"/>
      <c r="F186" s="8"/>
      <c r="G186" s="8"/>
      <c r="H186" s="8"/>
      <c r="I186" s="8"/>
    </row>
    <row r="187" spans="1:9" x14ac:dyDescent="0.25">
      <c r="A187" s="8"/>
      <c r="B187" s="8"/>
      <c r="C187" s="8"/>
      <c r="D187" s="8"/>
      <c r="E187" s="8"/>
      <c r="F187" s="8"/>
      <c r="G187" s="8"/>
      <c r="H187" s="8"/>
      <c r="I187" s="8"/>
    </row>
    <row r="188" spans="1:9" x14ac:dyDescent="0.25">
      <c r="A188" s="8"/>
      <c r="B188" s="8"/>
      <c r="C188" s="8"/>
      <c r="D188" s="8"/>
      <c r="E188" s="8"/>
      <c r="F188" s="8"/>
      <c r="G188" s="8"/>
      <c r="H188" s="8"/>
      <c r="I188" s="8"/>
    </row>
    <row r="189" spans="1:9" x14ac:dyDescent="0.25">
      <c r="A189" s="8"/>
      <c r="B189" s="8"/>
      <c r="C189" s="8"/>
      <c r="D189" s="8"/>
      <c r="E189" s="8"/>
      <c r="F189" s="8"/>
      <c r="G189" s="8"/>
      <c r="H189" s="8"/>
      <c r="I189" s="8"/>
    </row>
    <row r="190" spans="1:9" x14ac:dyDescent="0.25">
      <c r="A190" s="8"/>
      <c r="B190" s="8"/>
      <c r="C190" s="8"/>
      <c r="D190" s="8"/>
      <c r="E190" s="8"/>
      <c r="F190" s="8"/>
      <c r="G190" s="8"/>
      <c r="H190" s="8"/>
      <c r="I190" s="8"/>
    </row>
    <row r="191" spans="1:9" x14ac:dyDescent="0.25">
      <c r="A191" s="8"/>
      <c r="B191" s="8"/>
      <c r="C191" s="8"/>
      <c r="D191" s="8"/>
      <c r="E191" s="8"/>
      <c r="F191" s="8"/>
      <c r="G191" s="8"/>
      <c r="H191" s="8"/>
      <c r="I191" s="8"/>
    </row>
    <row r="192" spans="1:9" x14ac:dyDescent="0.25">
      <c r="A192" s="8"/>
      <c r="B192" s="8"/>
      <c r="C192" s="8"/>
      <c r="D192" s="8"/>
      <c r="E192" s="8"/>
      <c r="F192" s="8"/>
      <c r="G192" s="8"/>
      <c r="H192" s="8"/>
      <c r="I192" s="8"/>
    </row>
    <row r="193" spans="1:9" x14ac:dyDescent="0.25">
      <c r="A193" s="8"/>
      <c r="B193" s="8"/>
      <c r="C193" s="8"/>
      <c r="D193" s="8"/>
      <c r="E193" s="8"/>
      <c r="F193" s="8"/>
      <c r="G193" s="8"/>
      <c r="H193" s="8"/>
      <c r="I193" s="8"/>
    </row>
    <row r="194" spans="1:9" x14ac:dyDescent="0.25">
      <c r="A194" s="8"/>
      <c r="B194" s="8"/>
      <c r="C194" s="8"/>
      <c r="D194" s="8"/>
      <c r="E194" s="8"/>
      <c r="F194" s="8"/>
      <c r="G194" s="8"/>
      <c r="H194" s="8"/>
      <c r="I194" s="8"/>
    </row>
    <row r="195" spans="1:9" x14ac:dyDescent="0.25">
      <c r="A195" s="8"/>
      <c r="B195" s="8"/>
      <c r="C195" s="8"/>
      <c r="D195" s="8"/>
      <c r="E195" s="8"/>
      <c r="F195" s="8"/>
      <c r="G195" s="8"/>
      <c r="H195" s="8"/>
      <c r="I195" s="8"/>
    </row>
    <row r="196" spans="1:9" x14ac:dyDescent="0.25">
      <c r="A196" s="8"/>
      <c r="B196" s="8"/>
      <c r="C196" s="8"/>
      <c r="D196" s="8"/>
      <c r="E196" s="8"/>
      <c r="F196" s="8"/>
      <c r="G196" s="8"/>
      <c r="H196" s="8"/>
      <c r="I196" s="8"/>
    </row>
    <row r="197" spans="1:9" x14ac:dyDescent="0.25">
      <c r="A197" s="8"/>
      <c r="B197" s="8"/>
      <c r="C197" s="8"/>
      <c r="D197" s="8"/>
      <c r="E197" s="8"/>
      <c r="F197" s="8"/>
      <c r="G197" s="8"/>
      <c r="H197" s="8"/>
      <c r="I197" s="8"/>
    </row>
    <row r="198" spans="1:9" x14ac:dyDescent="0.25">
      <c r="A198" s="8"/>
      <c r="B198" s="8"/>
      <c r="C198" s="8"/>
      <c r="D198" s="8"/>
      <c r="E198" s="8"/>
      <c r="F198" s="8"/>
      <c r="G198" s="8"/>
      <c r="H198" s="8"/>
      <c r="I198" s="8"/>
    </row>
    <row r="199" spans="1:9" x14ac:dyDescent="0.25">
      <c r="A199" s="8"/>
      <c r="B199" s="8"/>
      <c r="C199" s="8"/>
      <c r="D199" s="8"/>
      <c r="E199" s="8"/>
      <c r="F199" s="8"/>
      <c r="G199" s="8"/>
      <c r="H199" s="8"/>
      <c r="I199" s="8"/>
    </row>
    <row r="200" spans="1:9" x14ac:dyDescent="0.25">
      <c r="A200" s="8"/>
      <c r="B200" s="8"/>
      <c r="C200" s="8"/>
      <c r="D200" s="8"/>
      <c r="E200" s="8"/>
      <c r="F200" s="8"/>
      <c r="G200" s="8"/>
      <c r="H200" s="8"/>
      <c r="I200" s="8"/>
    </row>
    <row r="201" spans="1:9" x14ac:dyDescent="0.25">
      <c r="A201" s="8"/>
      <c r="B201" s="8"/>
      <c r="C201" s="8"/>
      <c r="D201" s="8"/>
      <c r="E201" s="8"/>
      <c r="F201" s="8"/>
      <c r="G201" s="8"/>
      <c r="H201" s="8"/>
      <c r="I201" s="8"/>
    </row>
    <row r="202" spans="1:9" x14ac:dyDescent="0.25">
      <c r="A202" s="8"/>
      <c r="B202" s="8"/>
      <c r="C202" s="8"/>
      <c r="D202" s="8"/>
      <c r="E202" s="8"/>
      <c r="F202" s="8"/>
      <c r="G202" s="8"/>
      <c r="H202" s="8"/>
      <c r="I202" s="8"/>
    </row>
    <row r="203" spans="1:9" x14ac:dyDescent="0.25">
      <c r="A203" s="8"/>
      <c r="B203" s="8"/>
      <c r="C203" s="8"/>
      <c r="D203" s="8"/>
      <c r="E203" s="8"/>
      <c r="F203" s="8"/>
      <c r="G203" s="8"/>
      <c r="H203" s="8"/>
      <c r="I203" s="8"/>
    </row>
  </sheetData>
  <dataValidations count="10">
    <dataValidation type="list" allowBlank="1" sqref="C10:C203">
      <formula1>"P1,P2,P3,P4,P5,P6,All"</formula1>
    </dataValidation>
    <dataValidation type="list" allowBlank="1" sqref="C4:C203">
      <formula1>"P1,P2,P3,P4,P5,P6,All"</formula1>
    </dataValidation>
    <dataValidation type="list" allowBlank="1" sqref="D10:D203">
      <formula1>"Question,Bug,Moment,Note"</formula1>
    </dataValidation>
    <dataValidation type="list" allowBlank="1" sqref="D4:D203">
      <formula1>"Question,Bug,Moment,Note"</formula1>
    </dataValidation>
    <dataValidation type="list" allowBlank="1" sqref="F10:F203">
      <formula1>"bug,balance,usability"</formula1>
    </dataValidation>
    <dataValidation type="list" allowBlank="1" sqref="F4:F203">
      <formula1>"bug,balance,usability"</formula1>
    </dataValidation>
    <dataValidation type="list" allowBlank="1" sqref="G10:G203">
      <formula1>"S0,S1,S2,S3"</formula1>
    </dataValidation>
    <dataValidation type="list" allowBlank="1" sqref="G4:G203">
      <formula1>"S0,S1,S2,S3"</formula1>
    </dataValidation>
    <dataValidation type="list" allowBlank="1" sqref="H10:H203">
      <formula1>"Open,Filed,Fixed,Won't fix"</formula1>
    </dataValidation>
    <dataValidation type="list" allowBlank="1" sqref="H4:H203">
      <formula1>"Open,Filed,Fixed,Won't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4" width="16" customWidth="1"/>
    <col min="5" max="5" width="34" customWidth="1"/>
    <col min="6" max="6" width="10" customWidth="1"/>
    <col min="7" max="7" width="28" customWidth="1"/>
    <col min="8" max="8" width="10" customWidth="1"/>
    <col min="9" max="9" width="14" customWidth="1"/>
    <col min="10" max="10" width="12" customWidth="1"/>
    <col min="11" max="12" width="24" customWidth="1"/>
    <col min="13" max="13" width="14" customWidth="1"/>
  </cols>
  <sheetData>
    <row r="1" spans="1:1" x14ac:dyDescent="0.25">
      <c r="A1" s="5" t="s">
        <v>82</v>
      </c>
    </row>
    <row r="2" ht="56" customHeight="1" spans="1:14" x14ac:dyDescent="0.25">
      <c r="A2" s="6" t="s">
        <v>83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  <c r="G2" s="6" t="s">
        <v>89</v>
      </c>
      <c r="H2" s="6" t="s">
        <v>90</v>
      </c>
      <c r="I2" s="6" t="s">
        <v>91</v>
      </c>
      <c r="J2" s="6" t="s">
        <v>92</v>
      </c>
      <c r="K2" s="6" t="s">
        <v>93</v>
      </c>
      <c r="L2" s="6" t="s">
        <v>94</v>
      </c>
      <c r="M2" s="6" t="s">
        <v>95</v>
      </c>
      <c r="N2" s="6" t="s">
        <v>96</v>
      </c>
    </row>
    <row r="3" spans="1:14" s="9" customFormat="1" x14ac:dyDescent="0.25">
      <c r="A3" s="10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>
        <f>IF(M3="","",MATCH(M3,{"Definitely not","Probably not","Maybe","Probably","Definitely"},0))</f>
      </c>
    </row>
    <row r="4" spans="1:14" s="9" customFormat="1" x14ac:dyDescent="0.25">
      <c r="A4" s="10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0">
        <f>IF(M4="","",MATCH(M4,{"Definitely not","Probably not","Maybe","Probably","Definitely"},0))</f>
      </c>
    </row>
    <row r="5" spans="1:14" s="9" customFormat="1" x14ac:dyDescent="0.25">
      <c r="A5" s="10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0">
        <f>IF(M5="","",MATCH(M5,{"Definitely not","Probably not","Maybe","Probably","Definitely"},0))</f>
      </c>
    </row>
    <row r="6" spans="1:14" s="9" customFormat="1" x14ac:dyDescent="0.25">
      <c r="A6" s="10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0">
        <f>IF(M6="","",MATCH(M6,{"Definitely not","Probably not","Maybe","Probably","Definitely"},0))</f>
      </c>
    </row>
    <row r="7" spans="1:14" s="9" customFormat="1" x14ac:dyDescent="0.25">
      <c r="A7" s="10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0">
        <f>IF(M7="","",MATCH(M7,{"Definitely not","Probably not","Maybe","Probably","Definitely"},0))</f>
      </c>
    </row>
    <row r="8" spans="1:14" s="9" customFormat="1" x14ac:dyDescent="0.25">
      <c r="A8" s="10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0">
        <f>IF(M8="","",MATCH(M8,{"Definitely not","Probably not","Maybe","Probably","Definitely"},0))</f>
      </c>
    </row>
    <row r="9" spans="1:14" s="9" customFormat="1" x14ac:dyDescent="0.25">
      <c r="A9" s="10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0">
        <f>IF(M9="","",MATCH(M9,{"Definitely not","Probably not","Maybe","Probably","Definitely"},0))</f>
      </c>
    </row>
    <row r="10" spans="1:14" s="9" customFormat="1" x14ac:dyDescent="0.25">
      <c r="A10" s="10">
        <v>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0">
        <f>IF(M10="","",MATCH(M10,{"Definitely not","Probably not","Maybe","Probably","Definitely"},0))</f>
      </c>
    </row>
    <row r="11" spans="1:14" s="9" customFormat="1" x14ac:dyDescent="0.25">
      <c r="A11" s="10">
        <v>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0">
        <f>IF(M11="","",MATCH(M11,{"Definitely not","Probably not","Maybe","Probably","Definitely"},0))</f>
      </c>
    </row>
    <row r="12" spans="1:14" s="9" customFormat="1" x14ac:dyDescent="0.25">
      <c r="A12" s="10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0">
        <f>IF(M12="","",MATCH(M12,{"Definitely not","Probably not","Maybe","Probably","Definitely"},0))</f>
      </c>
    </row>
    <row r="13" spans="1:14" s="9" customFormat="1" x14ac:dyDescent="0.25">
      <c r="A13" s="10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0">
        <f>IF(M13="","",MATCH(M13,{"Definitely not","Probably not","Maybe","Probably","Definitely"},0))</f>
      </c>
    </row>
    <row r="14" spans="1:14" s="9" customFormat="1" x14ac:dyDescent="0.25">
      <c r="A14" s="10">
        <v>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0">
        <f>IF(M14="","",MATCH(M14,{"Definitely not","Probably not","Maybe","Probably","Definitely"},0))</f>
      </c>
    </row>
    <row r="16" spans="1:1" x14ac:dyDescent="0.25">
      <c r="A16" s="3" t="s">
        <v>97</v>
      </c>
    </row>
    <row r="17" spans="1:3" x14ac:dyDescent="0.25">
      <c r="A17" s="7" t="s">
        <v>98</v>
      </c>
      <c r="B17" s="12">
        <f>COUNTA(C3:C14)</f>
      </c>
      <c r="C17" s="7">
        <f>""</f>
      </c>
    </row>
    <row r="18" spans="1:3" x14ac:dyDescent="0.25">
      <c r="A18" s="7" t="s">
        <v>99</v>
      </c>
      <c r="B18" s="12">
        <f>COUNTIFS(B3:B14,"Yes",F3:F14,"Wrong")</f>
      </c>
      <c r="C18" s="7">
        <f>IF(B18&gt;1,"Usability finding against the finale explainer","OK")</f>
      </c>
    </row>
    <row r="19" spans="1:3" x14ac:dyDescent="0.25">
      <c r="A19" s="7" t="s">
        <v>100</v>
      </c>
      <c r="B19" s="13">
        <f>IFERROR(AVERAGE(H3:H14),"")</f>
      </c>
      <c r="C19" s="7">
        <f>""</f>
      </c>
    </row>
    <row r="20" spans="1:3" x14ac:dyDescent="0.25">
      <c r="A20" s="7" t="s">
        <v>101</v>
      </c>
      <c r="B20" s="13">
        <f>IFERROR(AVERAGE(J3:J14),"")</f>
      </c>
      <c r="C20" s="7">
        <f>""</f>
      </c>
    </row>
    <row r="21" spans="1:3" x14ac:dyDescent="0.25">
      <c r="A21" s="7" t="s">
        <v>102</v>
      </c>
      <c r="B21" s="13">
        <f>IF(OR(B19="",B20=""),"",IF(AND(B19&gt;3,B20&lt;3),"YES","no"))</f>
      </c>
      <c r="C21" s="7">
        <f>IF(B21="YES","Biggest design risk: Q5 &gt; 3 and Q7 &lt; 3","")</f>
      </c>
    </row>
    <row r="22" spans="1:3" x14ac:dyDescent="0.25">
      <c r="A22" s="7" t="s">
        <v>103</v>
      </c>
      <c r="B22" s="13">
        <f>IFERROR(AVERAGE(N3:N14),"")</f>
      </c>
      <c r="C22" s="7">
        <f>IF(B22="","",IF(B22&lt;3,"Below Maybe: blocks launch if it repeats over 2+ sessions","OK"))</f>
      </c>
    </row>
    <row r="24" spans="1:1" x14ac:dyDescent="0.25">
      <c r="A24" s="2" t="s">
        <v>104</v>
      </c>
    </row>
    <row r="25" spans="1:1" x14ac:dyDescent="0.25">
      <c r="A25" s="2" t="s">
        <v>105</v>
      </c>
    </row>
  </sheetData>
  <dataValidations count="16">
    <dataValidation type="list" allowBlank="1" sqref="B10:B14">
      <formula1>"Yes,No"</formula1>
    </dataValidation>
    <dataValidation type="list" allowBlank="1" sqref="B3:B14">
      <formula1>"Yes,No"</formula1>
    </dataValidation>
    <dataValidation type="list" allowBlank="1" sqref="C10:C14">
      <formula1>"Right away,Under 30s,30s–2 min,Longer,I never really knew"</formula1>
    </dataValidation>
    <dataValidation type="list" allowBlank="1" sqref="C3:C14">
      <formula1>"Right away,Under 30s,30s–2 min,Longer,I never really knew"</formula1>
    </dataValidation>
    <dataValidation type="list" allowBlank="1" sqref="D10:D14">
      <formula1>"Yes,I guessed,No,I never reached a finale"</formula1>
    </dataValidation>
    <dataValidation type="list" allowBlank="1" sqref="D3:D14">
      <formula1>"Yes,I guessed,No,I never reached a finale"</formula1>
    </dataValidation>
    <dataValidation type="list" allowBlank="1" sqref="F10:F14">
      <formula1>"Right,Partly,Wrong"</formula1>
    </dataValidation>
    <dataValidation type="list" allowBlank="1" sqref="F3:F14">
      <formula1>"Right,Partly,Wrong"</formula1>
    </dataValidation>
    <dataValidation type="whole" allowBlank="1" sqref="H10:H14">
      <formula1>1</formula1>
      <formula2>5</formula2>
    </dataValidation>
    <dataValidation type="whole" allowBlank="1" sqref="H3:H14">
      <formula1>1</formula1>
      <formula2>5</formula2>
    </dataValidation>
    <dataValidation type="list" allowBlank="1" sqref="I10:I14">
      <formula1>"Yes, often,Once or twice,No"</formula1>
    </dataValidation>
    <dataValidation type="list" allowBlank="1" sqref="I3:I14">
      <formula1>"Yes, often,Once or twice,No"</formula1>
    </dataValidation>
    <dataValidation type="list" allowBlank="1" sqref="J10:J14">
      <formula1>"1,2,3,4,5,N/A"</formula1>
    </dataValidation>
    <dataValidation type="list" allowBlank="1" sqref="J3:J14">
      <formula1>"1,2,3,4,5,N/A"</formula1>
    </dataValidation>
    <dataValidation type="list" allowBlank="1" sqref="M10:M14">
      <formula1>"Definitely not,Probably not,Maybe,Probably,Definitely"</formula1>
    </dataValidation>
    <dataValidation type="list" allowBlank="1" sqref="M3:M14">
      <formula1>"Definitely not,Probably not,Maybe,Probably,Definitely"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Session</vt:lpstr>
      <vt:lpstr>P1</vt:lpstr>
      <vt:lpstr>P2</vt:lpstr>
      <vt:lpstr>P3</vt:lpstr>
      <vt:lpstr>P4</vt:lpstr>
      <vt:lpstr>P5</vt:lpstr>
      <vt:lpstr>P6</vt:lpstr>
      <vt:lpstr>Log</vt:lpstr>
      <vt:lpstr>Survey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2026-10-04T19:55:12Z</dcterms:created>
  <dcterms:modified xsi:type="dcterms:W3CDTF">2026-10-04T19:55:12Z</dcterms:modified>
</cp:coreProperties>
</file>